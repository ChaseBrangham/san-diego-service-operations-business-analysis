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1553f48bd44d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oritization" sheetId="1" r:id="R41d44399ad634876"/>
    <x:sheet xmlns:r="http://schemas.openxmlformats.org/officeDocument/2006/relationships" name="MoSCoW View" sheetId="2" r:id="R916f5bb0d8d04a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i/>
      <x:sz val="9"/>
      <x:color rgb="FF595959"/>
      <x:name val="Carlito"/>
    </x:font>
    <x:font>
      <x:b/>
      <x:sz val="9"/>
      <x:color rgb="FFFFFFFF"/>
      <x:name val="Carlito"/>
    </x:font>
    <x:font>
      <x:sz val="9"/>
      <x:color rgb="FF1F1F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2F5597"/>
      </x:patternFill>
    </x:fill>
  </x:fills>
  <x:borders count="10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bottom/>
    </x:border>
    <x:border>
      <x:bottom/>
    </x:border>
  </x:borders>
  <x:cellStyleXfs count="1">
    <x:xf numFmtId="0" fontId="0" fillId="0" borderId="0"/>
  </x:cellStyleXfs>
  <x:cellXfs count="6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4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horizontal="center" wrapText="1"/>
    </x:xf>
    <x:xf numFmtId="0" fontId="4" fillId="5" borderId="6" xfId="0" applyNumberFormat="1" applyFont="1" applyFill="1" applyBorder="1" applyAlignment="1">
      <x:alignment horizontal="center" wrapText="1"/>
    </x:xf>
    <x:xf numFmtId="0" fontId="4" fillId="5" borderId="7" xfId="0" applyNumberFormat="1" applyFont="1" applyFill="1" applyBorder="1" applyAlignment="1">
      <x:alignment horizont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4" fillId="5" borderId="6" xfId="0" applyNumberFormat="1" applyFont="1" applyFill="1" applyBorder="1" applyAlignment="1">
      <x:alignment horizontal="center" vertical="center" wrapText="1"/>
    </x:xf>
    <x:xf numFmtId="0" fontId="4" fillId="5" borderId="7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8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/>
    <x:xf numFmtId="0" fontId="5" fillId="0" borderId="9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200" fontId="5" fillId="0" borderId="0" xfId="0" applyNumberFormat="1" applyFont="1" applyFill="1" applyBorder="1" applyAlignment="1">
      <x:alignment vertical="top" wrapText="1"/>
    </x:xf>
    <x:xf numFmtId="200" fontId="5" fillId="0" borderId="8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200" fontId="5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becd615e624032" /><Relationship Type="http://schemas.openxmlformats.org/officeDocument/2006/relationships/theme" Target="/xl/theme/theme1.xml" Id="Rb0db0652ac674bde" /><Relationship Type="http://schemas.openxmlformats.org/officeDocument/2006/relationships/sharedStrings" Target="/xl/sharedStrings.xml" Id="R96e43e4e2eb743b2" /><Relationship Type="http://schemas.openxmlformats.org/officeDocument/2006/relationships/worksheet" Target="/xl/worksheets/sheet1.xml" Id="R41d44399ad634876" /><Relationship Type="http://schemas.openxmlformats.org/officeDocument/2006/relationships/worksheet" Target="/xl/worksheets/sheet2.xml" Id="R916f5bb0d8d04a20" /></Relationships>
</file>

<file path=xl/tables/table1.xml><?xml version="1.0" encoding="utf-8"?>
<x:table xmlns:x="http://schemas.openxmlformats.org/spreadsheetml/2006/main" id="1" name="PrioritizationTable" displayName="PrioritizationTable" ref="A12:L21" headerRowCount="1" totalsRowCount="0" totalsRowShown="0">
  <x:tableColumns count="12">
    <x:tableColumn id="1" name="Requirement"/>
    <x:tableColumn id="2" name="Short Name"/>
    <x:tableColumn id="3" name="Current MoSCoW"/>
    <x:tableColumn id="4" name="Business Value"/>
    <x:tableColumn id="5" name="Decision Criticality"/>
    <x:tableColumn id="6" name="Risk / Integrity"/>
    <x:tableColumn id="7" name="Dependency / Enablement"/>
    <x:tableColumn id="8" name="Effort (Inverse)"/>
    <x:tableColumn id="9" name="Weighted Score"/>
    <x:tableColumn id="10" name="Recommended Priority"/>
    <x:tableColumn id="11" name="Rationale"/>
    <x:tableColumn id="12" name="Validation Need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SCoWTable" displayName="MoSCoWTable" ref="A5:F14" headerRowCount="1" totalsRowCount="0" totalsRowShown="0">
  <x:tableColumns count="6">
    <x:tableColumn id="1" name="Priority"/>
    <x:tableColumn id="2" name="Requirement"/>
    <x:tableColumn id="3" name="Capability"/>
    <x:tableColumn id="4" name="Why Now"/>
    <x:tableColumn id="5" name="Dependency"/>
    <x:tableColumn id="6" name="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36a49cda2004db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c9a3c952d2a4b21" /></Relationships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28" hidden="0" customWidth="1"/>
    <x:col min="3" max="3" width="16" hidden="0" customWidth="1"/>
    <x:col min="4" max="4" width="14" hidden="0" customWidth="1"/>
    <x:col min="5" max="5" width="18" hidden="0" customWidth="1"/>
    <x:col min="6" max="6" width="16" hidden="0" customWidth="1"/>
    <x:col min="7" max="7" width="18" hidden="0" customWidth="1"/>
    <x:col min="8" max="8" width="16" hidden="0" customWidth="1"/>
    <x:col min="9" max="9" width="15" hidden="0" customWidth="1"/>
    <x:col min="10" max="10" width="18" hidden="0" customWidth="1"/>
    <x:col min="11" max="11" width="38" hidden="0" customWidth="1"/>
    <x:col min="12" max="12" width="34" hidden="0" customWidth="1"/>
  </x:cols>
  <x:sheetData>
    <x:row r="1" ht="30" customHeight="1">
      <x:c r="A1" s="4" t="str">
        <x:v>Artifact 15 — Requirements Prioritization</x:v>
      </x:c>
    </x:row>
    <x:row r="2" ht="22" customHeight="1">
      <x:c r="A2" s="10" t="str">
        <x:v>MoSCoW + weighted rationale for business requirements</x:v>
      </x:c>
    </x:row>
    <x:row r="3" ht="34" customHeight="1">
      <x:c r="A3" s="17" t="str">
        <x:v>This is a retrospective portfolio prioritization exercise. Scores demonstrate how priorities could be made explicit in a live engagement; they are not stakeholder-approved rankings.</x:v>
      </x:c>
    </x:row>
    <x:row r="5" ht="30" customHeight="1">
      <x:c r="J5" s="33" t="str">
        <x:v>Scoring Factor</x:v>
      </x:c>
      <x:c r="K5" s="34" t="str">
        <x:v>Weight</x:v>
      </x:c>
      <x:c r="L5" s="35" t="str">
        <x:v>Scale</x:v>
      </x:c>
    </x:row>
    <x:row r="6" ht="28" customHeight="1">
      <x:c r="J6" s="54" t="str">
        <x:v>Business Value</x:v>
      </x:c>
      <x:c r="K6" s="54" t="n">
        <x:v>0.35</x:v>
      </x:c>
      <x:c r="L6" s="54" t="str">
        <x:v>1–5</x:v>
      </x:c>
    </x:row>
    <x:row r="7" ht="28" customHeight="1">
      <x:c r="J7" s="54" t="str">
        <x:v>Decision Criticality</x:v>
      </x:c>
      <x:c r="K7" s="54" t="n">
        <x:v>0.25</x:v>
      </x:c>
      <x:c r="L7" s="54" t="str">
        <x:v>1–5</x:v>
      </x:c>
    </x:row>
    <x:row r="8" ht="28" customHeight="1">
      <x:c r="J8" s="54" t="str">
        <x:v>Risk / Integrity</x:v>
      </x:c>
      <x:c r="K8" s="54" t="n">
        <x:v>0.2</x:v>
      </x:c>
      <x:c r="L8" s="54" t="str">
        <x:v>1–5</x:v>
      </x:c>
    </x:row>
    <x:row r="9" ht="28" customHeight="1">
      <x:c r="J9" s="54" t="str">
        <x:v>Dependency / Enablement</x:v>
      </x:c>
      <x:c r="K9" s="54" t="n">
        <x:v>0.1</x:v>
      </x:c>
      <x:c r="L9" s="54" t="str">
        <x:v>1–5</x:v>
      </x:c>
    </x:row>
    <x:row r="10" ht="28" customHeight="1">
      <x:c r="J10" s="55" t="str">
        <x:v>Effort (inverse)</x:v>
      </x:c>
      <x:c r="K10" s="55" t="n">
        <x:v>0.1</x:v>
      </x:c>
      <x:c r="L10" s="55" t="str">
        <x:v>1–5; 5 = lower effort</x:v>
      </x:c>
    </x:row>
    <x:row r="12" ht="30" customHeight="1">
      <x:c r="A12" s="33" t="str">
        <x:v>Requirement</x:v>
      </x:c>
      <x:c r="B12" s="34" t="str">
        <x:v>Short Name</x:v>
      </x:c>
      <x:c r="C12" s="34" t="str">
        <x:v>Current MoSCoW</x:v>
      </x:c>
      <x:c r="D12" s="34" t="str">
        <x:v>Business Value</x:v>
      </x:c>
      <x:c r="E12" s="34" t="str">
        <x:v>Decision Criticality</x:v>
      </x:c>
      <x:c r="F12" s="34" t="str">
        <x:v>Risk / Integrity</x:v>
      </x:c>
      <x:c r="G12" s="34" t="str">
        <x:v>Dependency / Enablement</x:v>
      </x:c>
      <x:c r="H12" s="34" t="str">
        <x:v>Effort (Inverse)</x:v>
      </x:c>
      <x:c r="I12" s="34" t="str">
        <x:v>Weighted Score</x:v>
      </x:c>
      <x:c r="J12" s="34" t="str">
        <x:v>Recommended Priority</x:v>
      </x:c>
      <x:c r="K12" s="34" t="str">
        <x:v>Rationale</x:v>
      </x:c>
      <x:c r="L12" s="35" t="str">
        <x:v>Validation Needed</x:v>
      </x:c>
    </x:row>
    <x:row r="13" ht="48" customHeight="1">
      <x:c r="A13" s="54" t="str">
        <x:v>BR-01</x:v>
      </x:c>
      <x:c r="B13" s="54" t="str">
        <x:v>Consolidated operational view</x:v>
      </x:c>
      <x:c r="C13" s="54" t="str">
        <x:v>Must</x:v>
      </x:c>
      <x:c r="D13" s="54" t="n">
        <x:v>5</x:v>
      </x:c>
      <x:c r="E13" s="54" t="n">
        <x:v>5</x:v>
      </x:c>
      <x:c r="F13" s="54" t="n">
        <x:v>5</x:v>
      </x:c>
      <x:c r="G13" s="54" t="n">
        <x:v>5</x:v>
      </x:c>
      <x:c r="H13" s="54" t="n">
        <x:v>4</x:v>
      </x:c>
      <x:c r="I13" s="62" t="n">
        <x:f>D13*$K$6+E13*$K$7+F13*$K$8+G13*$K$9+H13*$K$10</x:f>
        <x:v>4.9</x:v>
      </x:c>
      <x:c r="J13" s="54" t="str">
        <x:f>IF(I13&gt;=4.5,"Must",IF(I13&gt;=3.6,"Should","Could"))</x:f>
        <x:v>Must</x:v>
      </x:c>
      <x:c r="K13" s="54" t="str">
        <x:v>Foundation for all downstream monitoring and comparisons.</x:v>
      </x:c>
      <x:c r="L13" s="54" t="str">
        <x:v>Confirm primary user/decision cadence.</x:v>
      </x:c>
    </x:row>
    <x:row r="14" ht="48" customHeight="1">
      <x:c r="A14" s="54" t="str">
        <x:v>BR-02</x:v>
      </x:c>
      <x:c r="B14" s="54" t="str">
        <x:v>Aged backlog visibility</x:v>
      </x:c>
      <x:c r="C14" s="54" t="str">
        <x:v>Must</x:v>
      </x:c>
      <x:c r="D14" s="54" t="n">
        <x:v>5</x:v>
      </x:c>
      <x:c r="E14" s="54" t="n">
        <x:v>5</x:v>
      </x:c>
      <x:c r="F14" s="54" t="n">
        <x:v>4</x:v>
      </x:c>
      <x:c r="G14" s="54" t="n">
        <x:v>4</x:v>
      </x:c>
      <x:c r="H14" s="54" t="n">
        <x:v>5</x:v>
      </x:c>
      <x:c r="I14" s="62" t="n">
        <x:f>D14*$K$6+E14*$K$7+F14*$K$8+G14*$K$9+H14*$K$10</x:f>
        <x:v>4.7</x:v>
      </x:c>
      <x:c r="J14" s="54" t="str">
        <x:f>IF(I14&gt;=4.5,"Must",IF(I14&gt;=3.6,"Should","Could"))</x:f>
        <x:v>Must</x:v>
      </x:c>
      <x:c r="K14" s="54" t="str">
        <x:v>Large 90+ day concentration makes aging visibility central to prioritization.</x:v>
      </x:c>
      <x:c r="L14" s="54" t="str">
        <x:v>Validate service-specific thresholds / SLAs.</x:v>
      </x:c>
    </x:row>
    <x:row r="15" ht="48" customHeight="1">
      <x:c r="A15" s="54" t="str">
        <x:v>BR-03</x:v>
      </x:c>
      <x:c r="B15" s="54" t="str">
        <x:v>District comparison</x:v>
      </x:c>
      <x:c r="C15" s="54" t="str">
        <x:v>Must</x:v>
      </x:c>
      <x:c r="D15" s="54" t="n">
        <x:v>4</x:v>
      </x:c>
      <x:c r="E15" s="54" t="n">
        <x:v>4</x:v>
      </x:c>
      <x:c r="F15" s="54" t="n">
        <x:v>4</x:v>
      </x:c>
      <x:c r="G15" s="54" t="n">
        <x:v>3</x:v>
      </x:c>
      <x:c r="H15" s="54" t="n">
        <x:v>5</x:v>
      </x:c>
      <x:c r="I15" s="62" t="n">
        <x:f>D15*$K$6+E15*$K$7+F15*$K$8+G15*$K$9+H15*$K$10</x:f>
        <x:v>4</x:v>
      </x:c>
      <x:c r="J15" s="54" t="str">
        <x:f>IF(I15&gt;=4.5,"Must",IF(I15&gt;=3.6,"Should","Could"))</x:f>
        <x:v>Should</x:v>
      </x:c>
      <x:c r="K15" s="54" t="str">
        <x:v>Supports geographic concentration analysis but requires contextual normalization.</x:v>
      </x:c>
      <x:c r="L15" s="54" t="str">
        <x:v>Validate geographic management lens.</x:v>
      </x:c>
    </x:row>
    <x:row r="16" ht="48" customHeight="1">
      <x:c r="A16" s="54" t="str">
        <x:v>BR-04</x:v>
      </x:c>
      <x:c r="B16" s="54" t="str">
        <x:v>Service-category comparison</x:v>
      </x:c>
      <x:c r="C16" s="54" t="str">
        <x:v>Must</x:v>
      </x:c>
      <x:c r="D16" s="54" t="n">
        <x:v>5</x:v>
      </x:c>
      <x:c r="E16" s="54" t="n">
        <x:v>5</x:v>
      </x:c>
      <x:c r="F16" s="54" t="n">
        <x:v>4</x:v>
      </x:c>
      <x:c r="G16" s="54" t="n">
        <x:v>4</x:v>
      </x:c>
      <x:c r="H16" s="54" t="n">
        <x:v>5</x:v>
      </x:c>
      <x:c r="I16" s="62" t="n">
        <x:f>D16*$K$6+E16*$K$7+F16*$K$8+G16*$K$9+H16*$K$10</x:f>
        <x:v>4.7</x:v>
      </x:c>
      <x:c r="J16" s="54" t="str">
        <x:f>IF(I16&gt;=4.5,"Must",IF(I16&gt;=3.6,"Should","Could"))</x:f>
        <x:v>Must</x:v>
      </x:c>
      <x:c r="K16" s="54" t="str">
        <x:v>Directly identifies the largest workload drivers.</x:v>
      </x:c>
      <x:c r="L16" s="54" t="str">
        <x:v>Validate program ownership / service taxonomy.</x:v>
      </x:c>
    </x:row>
    <x:row r="17" ht="48" customHeight="1">
      <x:c r="A17" s="54" t="str">
        <x:v>BR-05</x:v>
      </x:c>
      <x:c r="B17" s="54" t="str">
        <x:v>Intake vs disposition monitoring</x:v>
      </x:c>
      <x:c r="C17" s="54" t="str">
        <x:v>Must</x:v>
      </x:c>
      <x:c r="D17" s="54" t="n">
        <x:v>5</x:v>
      </x:c>
      <x:c r="E17" s="54" t="n">
        <x:v>5</x:v>
      </x:c>
      <x:c r="F17" s="54" t="n">
        <x:v>4</x:v>
      </x:c>
      <x:c r="G17" s="54" t="n">
        <x:v>5</x:v>
      </x:c>
      <x:c r="H17" s="54" t="n">
        <x:v>4</x:v>
      </x:c>
      <x:c r="I17" s="62" t="n">
        <x:f>D17*$K$6+E17*$K$7+F17*$K$8+G17*$K$9+H17*$K$10</x:f>
        <x:v>4.7</x:v>
      </x:c>
      <x:c r="J17" s="54" t="str">
        <x:f>IF(I17&gt;=4.5,"Must",IF(I17&gt;=3.6,"Should","Could"))</x:f>
        <x:v>Must</x:v>
      </x:c>
      <x:c r="K17" s="54" t="str">
        <x:v>Backlog direction cannot be understood from stock measures alone.</x:v>
      </x:c>
      <x:c r="L17" s="54" t="str">
        <x:v>Validate disposition semantics and reporting period.</x:v>
      </x:c>
    </x:row>
    <x:row r="18" ht="48" customHeight="1">
      <x:c r="A18" s="54" t="str">
        <x:v>BR-06</x:v>
      </x:c>
      <x:c r="B18" s="54" t="str">
        <x:v>Interactive segmentation</x:v>
      </x:c>
      <x:c r="C18" s="54" t="str">
        <x:v>Should</x:v>
      </x:c>
      <x:c r="D18" s="54" t="n">
        <x:v>4</x:v>
      </x:c>
      <x:c r="E18" s="54" t="n">
        <x:v>4</x:v>
      </x:c>
      <x:c r="F18" s="54" t="n">
        <x:v>3</x:v>
      </x:c>
      <x:c r="G18" s="54" t="n">
        <x:v>3</x:v>
      </x:c>
      <x:c r="H18" s="54" t="n">
        <x:v>4</x:v>
      </x:c>
      <x:c r="I18" s="62" t="n">
        <x:f>D18*$K$6+E18*$K$7+F18*$K$8+G18*$K$9+H18*$K$10</x:f>
        <x:v>3.6999999999999997</x:v>
      </x:c>
      <x:c r="J18" s="54" t="str">
        <x:f>IF(I18&gt;=4.5,"Must",IF(I18&gt;=3.6,"Should","Could"))</x:f>
        <x:v>Should</x:v>
      </x:c>
      <x:c r="K18" s="54" t="str">
        <x:v>Improves repeatable analysis and supports stakeholder-specific questions.</x:v>
      </x:c>
      <x:c r="L18" s="54" t="str">
        <x:v>Confirm required filter dimensions.</x:v>
      </x:c>
    </x:row>
    <x:row r="19" ht="48" customHeight="1">
      <x:c r="A19" s="54" t="str">
        <x:v>BR-07</x:v>
      </x:c>
      <x:c r="B19" s="54" t="str">
        <x:v>Investigation without unsupported causality</x:v>
      </x:c>
      <x:c r="C19" s="54" t="str">
        <x:v>Should</x:v>
      </x:c>
      <x:c r="D19" s="54" t="n">
        <x:v>5</x:v>
      </x:c>
      <x:c r="E19" s="54" t="n">
        <x:v>4</x:v>
      </x:c>
      <x:c r="F19" s="54" t="n">
        <x:v>5</x:v>
      </x:c>
      <x:c r="G19" s="54" t="n">
        <x:v>2</x:v>
      </x:c>
      <x:c r="H19" s="54" t="n">
        <x:v>5</x:v>
      </x:c>
      <x:c r="I19" s="62" t="n">
        <x:f>D19*$K$6+E19*$K$7+F19*$K$8+G19*$K$9+H19*$K$10</x:f>
        <x:v>4.45</x:v>
      </x:c>
      <x:c r="J19" s="54" t="str">
        <x:f>IF(I19&gt;=4.5,"Must",IF(I19&gt;=3.6,"Should","Could"))</x:f>
        <x:v>Should</x:v>
      </x:c>
      <x:c r="K19" s="54" t="str">
        <x:v>Protects decision quality and credibility when public data cannot explain root cause.</x:v>
      </x:c>
      <x:c r="L19" s="54" t="str">
        <x:v>Agree evidence standard for recommendations.</x:v>
      </x:c>
    </x:row>
    <x:row r="20" ht="48" customHeight="1">
      <x:c r="A20" s="54" t="str">
        <x:v>BR-08</x:v>
      </x:c>
      <x:c r="B20" s="54" t="str">
        <x:v>Metric definitions and limitations</x:v>
      </x:c>
      <x:c r="C20" s="54" t="str">
        <x:v>Must</x:v>
      </x:c>
      <x:c r="D20" s="54" t="n">
        <x:v>5</x:v>
      </x:c>
      <x:c r="E20" s="54" t="n">
        <x:v>5</x:v>
      </x:c>
      <x:c r="F20" s="54" t="n">
        <x:v>5</x:v>
      </x:c>
      <x:c r="G20" s="54" t="n">
        <x:v>5</x:v>
      </x:c>
      <x:c r="H20" s="54" t="n">
        <x:v>5</x:v>
      </x:c>
      <x:c r="I20" s="62" t="n">
        <x:f>D20*$K$6+E20*$K$7+F20*$K$8+G20*$K$9+H20*$K$10</x:f>
        <x:v>5</x:v>
      </x:c>
      <x:c r="J20" s="54" t="str">
        <x:f>IF(I20&gt;=4.5,"Must",IF(I20&gt;=3.6,"Should","Could"))</x:f>
        <x:v>Must</x:v>
      </x:c>
      <x:c r="K20" s="54" t="str">
        <x:v>Governance and traceability are necessary to prevent misinterpretation.</x:v>
      </x:c>
      <x:c r="L20" s="54" t="str">
        <x:v>Assign business/data owners.</x:v>
      </x:c>
    </x:row>
    <x:row r="21" ht="48" customHeight="1">
      <x:c r="A21" s="55" t="str">
        <x:v>BR-09</x:v>
      </x:c>
      <x:c r="B21" s="55" t="str">
        <x:v>Duplicate and referral monitoring</x:v>
      </x:c>
      <x:c r="C21" s="55" t="str">
        <x:v>Should</x:v>
      </x:c>
      <x:c r="D21" s="55" t="n">
        <x:v>4</x:v>
      </x:c>
      <x:c r="E21" s="55" t="n">
        <x:v>4</x:v>
      </x:c>
      <x:c r="F21" s="55" t="n">
        <x:v>5</x:v>
      </x:c>
      <x:c r="G21" s="55" t="n">
        <x:v>3</x:v>
      </x:c>
      <x:c r="H21" s="55" t="n">
        <x:v>5</x:v>
      </x:c>
      <x:c r="I21" s="63" t="n">
        <x:f>D21*$K$6+E21*$K$7+F21*$K$8+G21*$K$9+H21*$K$10</x:f>
        <x:v>4.2</x:v>
      </x:c>
      <x:c r="J21" s="55" t="str">
        <x:f>IF(I21&gt;=4.5,"Must",IF(I21&gt;=3.6,"Should","Could"))</x:f>
        <x:v>Should</x:v>
      </x:c>
      <x:c r="K21" s="55" t="str">
        <x:v>These semantics materially affect interpretation of workload, demand, and workflow exit.</x:v>
      </x:c>
      <x:c r="L21" s="55" t="str">
        <x:v>Confirm management treatment of duplicates/referrals.</x:v>
      </x:c>
    </x:row>
  </x:sheetData>
  <x:mergeCells>
    <x:mergeCell ref="A1:L1"/>
    <x:mergeCell ref="A2:L2"/>
    <x:mergeCell ref="A3:L3"/>
  </x:mergeCells>
  <x:pageMargins left="0.7" right="0.7" top="0.75" bottom="0.75" header="0.3" footer="0.3"/>
  <x:tableParts count="1">
    <x:tablePart xmlns:r="http://schemas.openxmlformats.org/officeDocument/2006/relationships" r:id="Rf36a49cda2004db5"/>
  </x:tableParts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30" hidden="0" customWidth="1"/>
    <x:col min="4" max="4" width="38" hidden="0" customWidth="1"/>
    <x:col min="5" max="5" width="24" hidden="0" customWidth="1"/>
    <x:col min="6" max="6" width="32" hidden="0" customWidth="1"/>
  </x:cols>
  <x:sheetData>
    <x:row r="1" ht="30" customHeight="1">
      <x:c r="A1" s="4" t="str">
        <x:v>MoSCoW View</x:v>
      </x:c>
    </x:row>
    <x:row r="2" ht="22" customHeight="1">
      <x:c r="A2" s="10" t="str">
        <x:v>Readable priority grouping and rationale</x:v>
      </x:c>
    </x:row>
    <x:row r="3" ht="34" customHeight="1">
      <x:c r="A3" s="17" t="str">
        <x:v>Priorities shown here follow the current case-study requirement catalog; the weighted score tab provides a transparent challenge/validation mechanism.</x:v>
      </x:c>
    </x:row>
    <x:row r="5" ht="30" customHeight="1">
      <x:c r="A5" s="33" t="str">
        <x:v>Priority</x:v>
      </x:c>
      <x:c r="B5" s="34" t="str">
        <x:v>Requirement</x:v>
      </x:c>
      <x:c r="C5" s="34" t="str">
        <x:v>Capability</x:v>
      </x:c>
      <x:c r="D5" s="34" t="str">
        <x:v>Why Now</x:v>
      </x:c>
      <x:c r="E5" s="34" t="str">
        <x:v>Dependency</x:v>
      </x:c>
      <x:c r="F5" s="35" t="str">
        <x:v>Evidence</x:v>
      </x:c>
    </x:row>
    <x:row r="6" ht="44" customHeight="1">
      <x:c r="A6" s="54" t="str">
        <x:v>Must</x:v>
      </x:c>
      <x:c r="B6" s="54" t="str">
        <x:v>BR-01</x:v>
      </x:c>
      <x:c r="C6" s="54" t="str">
        <x:v>Consolidated operational view</x:v>
      </x:c>
      <x:c r="D6" s="54" t="str">
        <x:v>Everything else depends on a coherent analytical model.</x:v>
      </x:c>
      <x:c r="E6" s="54" t="str">
        <x:v>FR-01 / model</x:v>
      </x:c>
      <x:c r="F6" s="54" t="str">
        <x:v>Three-source Power Query pipeline</x:v>
      </x:c>
    </x:row>
    <x:row r="7" ht="44" customHeight="1">
      <x:c r="A7" s="54" t="str">
        <x:v>Must</x:v>
      </x:c>
      <x:c r="B7" s="54" t="str">
        <x:v>BR-02</x:v>
      </x:c>
      <x:c r="C7" s="54" t="str">
        <x:v>Aged backlog visibility</x:v>
      </x:c>
      <x:c r="D7" s="54" t="str">
        <x:v>Aging is one of the strongest observed operational signals.</x:v>
      </x:c>
      <x:c r="E7" s="54" t="str">
        <x:v>FR-03</x:v>
      </x:c>
      <x:c r="F7" s="54" t="str">
        <x:v>75.1% 90+ day rate</x:v>
      </x:c>
    </x:row>
    <x:row r="8" ht="44" customHeight="1">
      <x:c r="A8" s="54" t="str">
        <x:v>Must</x:v>
      </x:c>
      <x:c r="B8" s="54" t="str">
        <x:v>BR-03</x:v>
      </x:c>
      <x:c r="C8" s="54" t="str">
        <x:v>District comparison</x:v>
      </x:c>
      <x:c r="D8" s="54" t="str">
        <x:v>Geographic concentration is a primary management question.</x:v>
      </x:c>
      <x:c r="E8" s="54" t="str">
        <x:v>FR-04</x:v>
      </x:c>
      <x:c r="F8" s="54" t="str">
        <x:v>District 3 ~19.2K</x:v>
      </x:c>
    </x:row>
    <x:row r="9" ht="44" customHeight="1">
      <x:c r="A9" s="54" t="str">
        <x:v>Must</x:v>
      </x:c>
      <x:c r="B9" s="54" t="str">
        <x:v>BR-04</x:v>
      </x:c>
      <x:c r="C9" s="54" t="str">
        <x:v>Service-category comparison</x:v>
      </x:c>
      <x:c r="D9" s="54" t="str">
        <x:v>Identifies where outstanding workload is concentrated.</x:v>
      </x:c>
      <x:c r="E9" s="54" t="str">
        <x:v>FR-05</x:v>
      </x:c>
      <x:c r="F9" s="54" t="str">
        <x:v>14.8K sidewalk + 14.8K streetlight</x:v>
      </x:c>
    </x:row>
    <x:row r="10" ht="44" customHeight="1">
      <x:c r="A10" s="54" t="str">
        <x:v>Must</x:v>
      </x:c>
      <x:c r="B10" s="54" t="str">
        <x:v>BR-05</x:v>
      </x:c>
      <x:c r="C10" s="54" t="str">
        <x:v>Intake vs disposition monitoring</x:v>
      </x:c>
      <x:c r="D10" s="54" t="str">
        <x:v>Shows direction of workload pressure, not just backlog size.</x:v>
      </x:c>
      <x:c r="E10" s="54" t="str">
        <x:v>FR-06 / FR-07</x:v>
      </x:c>
      <x:c r="F10" s="54" t="str">
        <x:v>Monthly trend + net flow</x:v>
      </x:c>
    </x:row>
    <x:row r="11" ht="44" customHeight="1">
      <x:c r="A11" s="54" t="str">
        <x:v>Must</x:v>
      </x:c>
      <x:c r="B11" s="54" t="str">
        <x:v>BR-08</x:v>
      </x:c>
      <x:c r="C11" s="54" t="str">
        <x:v>Definitions / governance</x:v>
      </x:c>
      <x:c r="D11" s="54" t="str">
        <x:v>Prevents status, referral, closure, and aging metrics from being misread.</x:v>
      </x:c>
      <x:c r="E11" s="54" t="str">
        <x:v>NFR-02</x:v>
      </x:c>
      <x:c r="F11" s="54" t="str">
        <x:v>Public-data limitations</x:v>
      </x:c>
    </x:row>
    <x:row r="12" ht="44" customHeight="1">
      <x:c r="A12" s="54" t="str">
        <x:v>Should</x:v>
      </x:c>
      <x:c r="B12" s="54" t="str">
        <x:v>BR-06</x:v>
      </x:c>
      <x:c r="C12" s="54" t="str">
        <x:v>Interactive segmentation</x:v>
      </x:c>
      <x:c r="D12" s="54" t="str">
        <x:v>Enables focused operational questions.</x:v>
      </x:c>
      <x:c r="E12" s="54" t="str">
        <x:v>FR-08 / FR-09</x:v>
      </x:c>
      <x:c r="F12" s="54" t="str">
        <x:v>Implemented slicers/filter context</x:v>
      </x:c>
    </x:row>
    <x:row r="13" ht="44" customHeight="1">
      <x:c r="A13" s="54" t="str">
        <x:v>Should</x:v>
      </x:c>
      <x:c r="B13" s="54" t="str">
        <x:v>BR-07</x:v>
      </x:c>
      <x:c r="C13" s="54" t="str">
        <x:v>Bounded recommendations</x:v>
      </x:c>
      <x:c r="D13" s="54" t="str">
        <x:v>Allows decision support without unsupported causal claims.</x:v>
      </x:c>
      <x:c r="E13" s="54" t="str">
        <x:v>Analysis governance</x:v>
      </x:c>
      <x:c r="F13" s="54" t="str">
        <x:v>Dataset does not include work performed</x:v>
      </x:c>
    </x:row>
    <x:row r="14" ht="44" customHeight="1">
      <x:c r="A14" s="55" t="str">
        <x:v>Should</x:v>
      </x:c>
      <x:c r="B14" s="55" t="str">
        <x:v>BR-09</x:v>
      </x:c>
      <x:c r="C14" s="55" t="str">
        <x:v>Duplicate/referral monitoring</x:v>
      </x:c>
      <x:c r="D14" s="55" t="str">
        <x:v>Clarifies demand signal and workflow exit.</x:v>
      </x:c>
      <x:c r="E14" s="55" t="str">
        <x:v>FR-13 / FR-14</x:v>
      </x:c>
      <x:c r="F14" s="55" t="str">
        <x:v>13.1% duplicate; 6.0% referral</x:v>
      </x:c>
    </x:row>
  </x:sheetData>
  <x:mergeCells>
    <x:mergeCell ref="A1:F1"/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9c9a3c952d2a4b21"/>
  </x:tableParts>
</x:worksheet>
</file>