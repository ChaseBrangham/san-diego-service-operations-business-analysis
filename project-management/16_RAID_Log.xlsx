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8d530fe56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ID Log" sheetId="1" r:id="Rb359476895f24b81"/>
    <x:sheet xmlns:r="http://schemas.openxmlformats.org/officeDocument/2006/relationships" name="Risk Matrix" sheetId="2" r:id="Re61b32017996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9"/>
      <x:color rgb="FF595959"/>
      <x:name val="Carlito"/>
    </x:font>
    <x:font>
      <x:b/>
      <x:sz val="9"/>
      <x:color rgb="FFFFFFFF"/>
      <x:name val="Carlito"/>
    </x:font>
    <x:font>
      <x:sz val="9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5597"/>
      </x:patternFill>
    </x:fill>
  </x:fills>
  <x:borders count="1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  <x:border>
      <x:bottom/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9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a5b5689934e4c" /><Relationship Type="http://schemas.openxmlformats.org/officeDocument/2006/relationships/theme" Target="/xl/theme/theme1.xml" Id="R11131ad425094b7b" /><Relationship Type="http://schemas.openxmlformats.org/officeDocument/2006/relationships/sharedStrings" Target="/xl/sharedStrings.xml" Id="R11f0d0033a704e46" /><Relationship Type="http://schemas.openxmlformats.org/officeDocument/2006/relationships/worksheet" Target="/xl/worksheets/sheet1.xml" Id="Rb359476895f24b81" /><Relationship Type="http://schemas.openxmlformats.org/officeDocument/2006/relationships/worksheet" Target="/xl/worksheets/sheet2.xml" Id="Re61b3201799644aa" /></Relationships>
</file>

<file path=xl/tables/table1.xml><?xml version="1.0" encoding="utf-8"?>
<x:table xmlns:x="http://schemas.openxmlformats.org/spreadsheetml/2006/main" id="1" name="RAIDTable" displayName="RAIDTable" ref="A5:L18" headerRowCount="1" totalsRowCount="0" totalsRowShown="0">
  <x:tableColumns count="12">
    <x:tableColumn id="1" name="RAID ID"/>
    <x:tableColumn id="2" name="Type"/>
    <x:tableColumn id="3" name="Description"/>
    <x:tableColumn id="4" name="Probability"/>
    <x:tableColumn id="5" name="Impact"/>
    <x:tableColumn id="6" name="Score"/>
    <x:tableColumn id="7" name="Severity"/>
    <x:tableColumn id="8" name="Response / Mitigation"/>
    <x:tableColumn id="9" name="Owner"/>
    <x:tableColumn id="10" name="Trigger / Review Point"/>
    <x:tableColumn id="11" name="Related Artifact"/>
    <x:tableColumn id="12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1da21a448a4898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40" hidden="0" customWidth="1"/>
    <x:col min="4" max="4" width="12" hidden="0" customWidth="1"/>
    <x:col min="5" max="5" width="10" hidden="0" customWidth="1"/>
    <x:col min="6" max="6" width="10" hidden="0" customWidth="1"/>
    <x:col min="7" max="7" width="12" hidden="0" customWidth="1"/>
    <x:col min="8" max="8" width="42" hidden="0" customWidth="1"/>
    <x:col min="9" max="9" width="22" hidden="0" customWidth="1"/>
    <x:col min="10" max="10" width="26" hidden="0" customWidth="1"/>
    <x:col min="11" max="11" width="24" hidden="0" customWidth="1"/>
    <x:col min="12" max="12" width="18" hidden="0" customWidth="1"/>
  </x:cols>
  <x:sheetData>
    <x:row r="1" ht="30" customHeight="1">
      <x:c r="A1" s="4" t="str">
        <x:v>Artifact 16 — RAID Log</x:v>
      </x:c>
    </x:row>
    <x:row r="2" ht="22" customHeight="1">
      <x:c r="A2" s="10" t="str">
        <x:v>Risks, assumptions, issues, and dependencies for the case study</x:v>
      </x:c>
    </x:row>
    <x:row r="3" ht="34" customHeight="1">
      <x:c r="A3" s="17" t="str">
        <x:v>This log focuses on analytical/BA delivery risk. Assumptions are cross-referenced to Artifact 10 rather than silently treated as facts.</x:v>
      </x:c>
    </x:row>
    <x:row r="5" ht="30" customHeight="1">
      <x:c r="A5" s="33" t="str">
        <x:v>RAID ID</x:v>
      </x:c>
      <x:c r="B5" s="34" t="str">
        <x:v>Type</x:v>
      </x:c>
      <x:c r="C5" s="34" t="str">
        <x:v>Description</x:v>
      </x:c>
      <x:c r="D5" s="34" t="str">
        <x:v>Probability</x:v>
      </x:c>
      <x:c r="E5" s="34" t="str">
        <x:v>Impact</x:v>
      </x:c>
      <x:c r="F5" s="34" t="str">
        <x:v>Score</x:v>
      </x:c>
      <x:c r="G5" s="34" t="str">
        <x:v>Severity</x:v>
      </x:c>
      <x:c r="H5" s="34" t="str">
        <x:v>Response / Mitigation</x:v>
      </x:c>
      <x:c r="I5" s="34" t="str">
        <x:v>Owner</x:v>
      </x:c>
      <x:c r="J5" s="34" t="str">
        <x:v>Trigger / Review Point</x:v>
      </x:c>
      <x:c r="K5" s="34" t="str">
        <x:v>Related Artifact</x:v>
      </x:c>
      <x:c r="L5" s="35" t="str">
        <x:v>Status</x:v>
      </x:c>
    </x:row>
    <x:row r="6" ht="50" customHeight="1">
      <x:c r="A6" s="54" t="str">
        <x:v>R-01</x:v>
      </x:c>
      <x:c r="B6" s="54" t="str">
        <x:v>Risk</x:v>
      </x:c>
      <x:c r="C6" s="54" t="str">
        <x:v>Public request data may be interpreted as an official record of completed maintenance work.</x:v>
      </x:c>
      <x:c r="D6" s="54" t="n">
        <x:v>4</x:v>
      </x:c>
      <x:c r="E6" s="54" t="n">
        <x:v>5</x:v>
      </x:c>
      <x:c r="F6" s="62" t="n">
        <x:f>D6*E6</x:f>
        <x:v>20</x:v>
      </x:c>
      <x:c r="G6" s="54" t="str">
        <x:f>IF(F6&gt;=20,"Critical",IF(F6&gt;=12,"High",IF(F6&gt;=6,"Medium","Low")))</x:f>
        <x:v>Critical</x:v>
      </x:c>
      <x:c r="H6" s="54" t="str">
        <x:v>Use request/disposition terminology; cite dataset limitation; separate Referred from confirmed resolution.</x:v>
      </x:c>
      <x:c r="I6" s="54" t="str">
        <x:v>BA</x:v>
      </x:c>
      <x:c r="J6" s="54" t="str">
        <x:v>Every finding/recommendation review</x:v>
      </x:c>
      <x:c r="K6" s="54" t="str">
        <x:v>13 KPI Dictionary / 14 Rules</x:v>
      </x:c>
      <x:c r="L6" s="54" t="str">
        <x:v>Open</x:v>
      </x:c>
    </x:row>
    <x:row r="7" ht="50" customHeight="1">
      <x:c r="A7" s="54" t="str">
        <x:v>R-02</x:v>
      </x:c>
      <x:c r="B7" s="54" t="str">
        <x:v>Risk</x:v>
      </x:c>
      <x:c r="C7" s="54" t="str">
        <x:v>Raw council-district backlog may be interpreted as district performance without population/service/asset context.</x:v>
      </x:c>
      <x:c r="D7" s="54" t="n">
        <x:v>4</x:v>
      </x:c>
      <x:c r="E7" s="54" t="n">
        <x:v>4</x:v>
      </x:c>
      <x:c r="F7" s="62" t="n">
        <x:f>D7*E7</x:f>
        <x:v>16</x:v>
      </x:c>
      <x:c r="G7" s="54" t="str">
        <x:f>IF(F7&gt;=20,"Critical",IF(F7&gt;=12,"High",IF(F7&gt;=6,"Medium","Low")))</x:f>
        <x:v>High</x:v>
      </x:c>
      <x:c r="H7" s="54" t="str">
        <x:v>Use descriptive language; require normalization/context before performance ranking.</x:v>
      </x:c>
      <x:c r="I7" s="54" t="str">
        <x:v>BA / analyst</x:v>
      </x:c>
      <x:c r="J7" s="54" t="str">
        <x:v>District comparison</x:v>
      </x:c>
      <x:c r="K7" s="54" t="str">
        <x:v>12 Gap Analysis</x:v>
      </x:c>
      <x:c r="L7" s="54" t="str">
        <x:v>Open</x:v>
      </x:c>
    </x:row>
    <x:row r="8" ht="50" customHeight="1">
      <x:c r="A8" s="54" t="str">
        <x:v>R-03</x:v>
      </x:c>
      <x:c r="B8" s="54" t="str">
        <x:v>Risk</x:v>
      </x:c>
      <x:c r="C8" s="54" t="str">
        <x:v>90-day threshold may be mistaken for a City SLA.</x:v>
      </x:c>
      <x:c r="D8" s="54" t="n">
        <x:v>3</x:v>
      </x:c>
      <x:c r="E8" s="54" t="n">
        <x:v>5</x:v>
      </x:c>
      <x:c r="F8" s="62" t="n">
        <x:f>D8*E8</x:f>
        <x:v>15</x:v>
      </x:c>
      <x:c r="G8" s="54" t="str">
        <x:f>IF(F8&gt;=20,"Critical",IF(F8&gt;=12,"High",IF(F8&gt;=6,"Medium","Low")))</x:f>
        <x:v>High</x:v>
      </x:c>
      <x:c r="H8" s="54" t="str">
        <x:v>Label as portfolio analytical threshold; validate service-specific targets.</x:v>
      </x:c>
      <x:c r="I8" s="54" t="str">
        <x:v>BA</x:v>
      </x:c>
      <x:c r="J8" s="54" t="str">
        <x:v>Aging metric review</x:v>
      </x:c>
      <x:c r="K8" s="54" t="str">
        <x:v>13 KPI Dictionary</x:v>
      </x:c>
      <x:c r="L8" s="54" t="str">
        <x:v>Mitigated in documentation</x:v>
      </x:c>
    </x:row>
    <x:row r="9" ht="50" customHeight="1">
      <x:c r="A9" s="54" t="str">
        <x:v>R-04</x:v>
      </x:c>
      <x:c r="B9" s="54" t="str">
        <x:v>Risk</x:v>
      </x:c>
      <x:c r="C9" s="54" t="str">
        <x:v>Retrospective requirements could be mistaken for pre-build stakeholder requirements.</x:v>
      </x:c>
      <x:c r="D9" s="54" t="n">
        <x:v>3</x:v>
      </x:c>
      <x:c r="E9" s="54" t="n">
        <x:v>5</x:v>
      </x:c>
      <x:c r="F9" s="62" t="n">
        <x:f>D9*E9</x:f>
        <x:v>15</x:v>
      </x:c>
      <x:c r="G9" s="54" t="str">
        <x:f>IF(F9&gt;=20,"Critical",IF(F9&gt;=12,"High",IF(F9&gt;=6,"Medium","Low")))</x:f>
        <x:v>High</x:v>
      </x:c>
      <x:c r="H9" s="54" t="str">
        <x:v>Label Reconstructed/Proposed throughout; keep portfolio disclosure prominent.</x:v>
      </x:c>
      <x:c r="I9" s="54" t="str">
        <x:v>BA</x:v>
      </x:c>
      <x:c r="J9" s="54" t="str">
        <x:v>Artifact publication</x:v>
      </x:c>
      <x:c r="K9" s="54" t="str">
        <x:v>01 Overview / 05 Requirements</x:v>
      </x:c>
      <x:c r="L9" s="54" t="str">
        <x:v>Mitigated</x:v>
      </x:c>
    </x:row>
    <x:row r="10" ht="50" customHeight="1">
      <x:c r="A10" s="54" t="str">
        <x:v>R-05</x:v>
      </x:c>
      <x:c r="B10" s="54" t="str">
        <x:v>Risk</x:v>
      </x:c>
      <x:c r="C10" s="54" t="str">
        <x:v>CSV parsing or source-schema changes could silently corrupt refresh results.</x:v>
      </x:c>
      <x:c r="D10" s="54" t="n">
        <x:v>3</x:v>
      </x:c>
      <x:c r="E10" s="54" t="n">
        <x:v>5</x:v>
      </x:c>
      <x:c r="F10" s="62" t="n">
        <x:f>D10*E10</x:f>
        <x:v>15</x:v>
      </x:c>
      <x:c r="G10" s="54" t="str">
        <x:f>IF(F10&gt;=20,"Critical",IF(F10&gt;=12,"High",IF(F10&gt;=6,"Medium","Low")))</x:f>
        <x:v>High</x:v>
      </x:c>
      <x:c r="H10" s="54" t="str">
        <x:v>Row-count, type, status-domain, parsing, and reconciliation QA on refresh.</x:v>
      </x:c>
      <x:c r="I10" s="54" t="str">
        <x:v>Data analyst</x:v>
      </x:c>
      <x:c r="J10" s="54" t="str">
        <x:v>Every refresh</x:v>
      </x:c>
      <x:c r="K10" s="54" t="str">
        <x:v>14 Data Quality Rules</x:v>
      </x:c>
      <x:c r="L10" s="54" t="str">
        <x:v>Open</x:v>
      </x:c>
    </x:row>
    <x:row r="11" ht="50" customHeight="1">
      <x:c r="A11" s="54" t="str">
        <x:v>R-06</x:v>
      </x:c>
      <x:c r="B11" s="54" t="str">
        <x:v>Risk</x:v>
      </x:c>
      <x:c r="C11" s="54" t="str">
        <x:v>Duplicate and referral metrics may be interpreted causally without process context.</x:v>
      </x:c>
      <x:c r="D11" s="54" t="n">
        <x:v>4</x:v>
      </x:c>
      <x:c r="E11" s="54" t="n">
        <x:v>4</x:v>
      </x:c>
      <x:c r="F11" s="62" t="n">
        <x:f>D11*E11</x:f>
        <x:v>16</x:v>
      </x:c>
      <x:c r="G11" s="54" t="str">
        <x:f>IF(F11&gt;=20,"Critical",IF(F11&gt;=12,"High",IF(F11&gt;=6,"Medium","Low")))</x:f>
        <x:v>High</x:v>
      </x:c>
      <x:c r="H11" s="54" t="str">
        <x:v>Pair metrics with definitions, caveats, and investigation questions.</x:v>
      </x:c>
      <x:c r="I11" s="54" t="str">
        <x:v>BA / analyst</x:v>
      </x:c>
      <x:c r="J11" s="54" t="str">
        <x:v>Finding review</x:v>
      </x:c>
      <x:c r="K11" s="54" t="str">
        <x:v>12 / 13 / 14</x:v>
      </x:c>
      <x:c r="L11" s="54" t="str">
        <x:v>Open</x:v>
      </x:c>
    </x:row>
    <x:row r="12" ht="50" customHeight="1">
      <x:c r="A12" s="54" t="str">
        <x:v>A-01</x:v>
      </x:c>
      <x:c r="B12" s="54" t="str">
        <x:v>Assumption</x:v>
      </x:c>
      <x:c r="C12" s="54" t="str">
        <x:v>Council district is a useful management lens for at least some reviewers.</x:v>
      </x:c>
      <x:c r="D12" s="54" t="n">
        <x:v>3</x:v>
      </x:c>
      <x:c r="E12" s="54" t="n">
        <x:v>3</x:v>
      </x:c>
      <x:c r="F12" s="62" t="n">
        <x:f>D12*E12</x:f>
        <x:v>9</x:v>
      </x:c>
      <x:c r="G12" s="54" t="str">
        <x:f>IF(F12&gt;=20,"Critical",IF(F12&gt;=12,"High",IF(F12&gt;=6,"Medium","Low")))</x:f>
        <x:v>Medium</x:v>
      </x:c>
      <x:c r="H12" s="54" t="str">
        <x:v>Validate with stakeholders; maintain service-type and broader dimensions.</x:v>
      </x:c>
      <x:c r="I12" s="54" t="str">
        <x:v>BA</x:v>
      </x:c>
      <x:c r="J12" s="54" t="str">
        <x:v>Stakeholder discovery</x:v>
      </x:c>
      <x:c r="K12" s="54" t="str">
        <x:v>Artifact 10 ASM-005</x:v>
      </x:c>
      <x:c r="L12" s="54" t="str">
        <x:v>Open</x:v>
      </x:c>
    </x:row>
    <x:row r="13" ht="50" customHeight="1">
      <x:c r="A13" s="54" t="str">
        <x:v>A-02</x:v>
      </x:c>
      <x:c r="B13" s="54" t="str">
        <x:v>Assumption</x:v>
      </x:c>
      <x:c r="C13" s="54" t="str">
        <x:v>The 90-day aging cut is useful for portfolio monitoring.</x:v>
      </x:c>
      <x:c r="D13" s="54" t="n">
        <x:v>3</x:v>
      </x:c>
      <x:c r="E13" s="54" t="n">
        <x:v>4</x:v>
      </x:c>
      <x:c r="F13" s="62" t="n">
        <x:f>D13*E13</x:f>
        <x:v>12</x:v>
      </x:c>
      <x:c r="G13" s="54" t="str">
        <x:f>IF(F13&gt;=20,"Critical",IF(F13&gt;=12,"High",IF(F13&gt;=6,"Medium","Low")))</x:f>
        <x:v>High</x:v>
      </x:c>
      <x:c r="H13" s="54" t="str">
        <x:v>Validate by service type/process owner; keep threshold configurable.</x:v>
      </x:c>
      <x:c r="I13" s="54" t="str">
        <x:v>BA</x:v>
      </x:c>
      <x:c r="J13" s="54" t="str">
        <x:v>Requirements validation</x:v>
      </x:c>
      <x:c r="K13" s="54" t="str">
        <x:v>Artifact 10 ASM-004</x:v>
      </x:c>
      <x:c r="L13" s="54" t="str">
        <x:v>Open</x:v>
      </x:c>
    </x:row>
    <x:row r="14" ht="50" customHeight="1">
      <x:c r="A14" s="54" t="str">
        <x:v>I-01</x:v>
      </x:c>
      <x:c r="B14" s="54" t="str">
        <x:v>Issue</x:v>
      </x:c>
      <x:c r="C14" s="54" t="str">
        <x:v>The BA case study was created after the Power BI solution, so elicitation/approval did not occur before implementation.</x:v>
      </x:c>
      <x:c r="D14" s="54" t="n">
        <x:v>5</x:v>
      </x:c>
      <x:c r="E14" s="54" t="n">
        <x:v>3</x:v>
      </x:c>
      <x:c r="F14" s="62" t="n">
        <x:f>D14*E14</x:f>
        <x:v>15</x:v>
      </x:c>
      <x:c r="G14" s="54" t="str">
        <x:f>IF(F14&gt;=20,"Critical",IF(F14&gt;=12,"High",IF(F14&gt;=6,"Medium","Low")))</x:f>
        <x:v>High</x:v>
      </x:c>
      <x:c r="H14" s="54" t="str">
        <x:v>Treat this as a transparent retrospective case study; show how live-project sequencing would differ.</x:v>
      </x:c>
      <x:c r="I14" s="54" t="str">
        <x:v>BA</x:v>
      </x:c>
      <x:c r="J14" s="54" t="str">
        <x:v>Portfolio review</x:v>
      </x:c>
      <x:c r="K14" s="54" t="str">
        <x:v>Master case study</x:v>
      </x:c>
      <x:c r="L14" s="54" t="str">
        <x:v>Known</x:v>
      </x:c>
    </x:row>
    <x:row r="15" ht="50" customHeight="1">
      <x:c r="A15" s="54" t="str">
        <x:v>I-02</x:v>
      </x:c>
      <x:c r="B15" s="54" t="str">
        <x:v>Issue</x:v>
      </x:c>
      <x:c r="C15" s="54" t="str">
        <x:v>Detailed internal work-order flow, staffing, SLA, and completion data are unavailable.</x:v>
      </x:c>
      <x:c r="D15" s="54" t="n">
        <x:v>5</x:v>
      </x:c>
      <x:c r="E15" s="54" t="n">
        <x:v>4</x:v>
      </x:c>
      <x:c r="F15" s="62" t="n">
        <x:f>D15*E15</x:f>
        <x:v>20</x:v>
      </x:c>
      <x:c r="G15" s="54" t="str">
        <x:f>IF(F15&gt;=20,"Critical",IF(F15&gt;=12,"High",IF(F15&gt;=6,"Medium","Low")))</x:f>
        <x:v>Critical</x:v>
      </x:c>
      <x:c r="H15" s="54" t="str">
        <x:v>Bound As-Is model to public status lifecycle; identify internal discovery as next step.</x:v>
      </x:c>
      <x:c r="I15" s="54" t="str">
        <x:v>BA</x:v>
      </x:c>
      <x:c r="J15" s="54" t="str">
        <x:v>Process analysis</x:v>
      </x:c>
      <x:c r="K15" s="54" t="str">
        <x:v>03 Process Map / 12 Gap Analysis</x:v>
      </x:c>
      <x:c r="L15" s="54" t="str">
        <x:v>Known</x:v>
      </x:c>
    </x:row>
    <x:row r="16" ht="50" customHeight="1">
      <x:c r="A16" s="54" t="str">
        <x:v>D-01</x:v>
      </x:c>
      <x:c r="B16" s="54" t="str">
        <x:v>Dependency</x:v>
      </x:c>
      <x:c r="C16" s="54" t="str">
        <x:v>Accurate throughput analysis depends on consistent date relationships and disposition definition.</x:v>
      </x:c>
      <x:c r="D16" s="54" t="n">
        <x:v>4</x:v>
      </x:c>
      <x:c r="E16" s="54" t="n">
        <x:v>5</x:v>
      </x:c>
      <x:c r="F16" s="62" t="n">
        <x:f>D16*E16</x:f>
        <x:v>20</x:v>
      </x:c>
      <x:c r="G16" s="54" t="str">
        <x:f>IF(F16&gt;=20,"Critical",IF(F16&gt;=12,"High",IF(F16&gt;=6,"Medium","Low")))</x:f>
        <x:v>Critical</x:v>
      </x:c>
      <x:c r="H16" s="54" t="str">
        <x:v>Maintain Date table and documented active/inactive relationships; reconcile sample months.</x:v>
      </x:c>
      <x:c r="I16" s="54" t="str">
        <x:v>Data analyst</x:v>
      </x:c>
      <x:c r="J16" s="54" t="str">
        <x:v>Measure changes</x:v>
      </x:c>
      <x:c r="K16" s="54" t="str">
        <x:v>13 KPI Dictionary</x:v>
      </x:c>
      <x:c r="L16" s="54" t="str">
        <x:v>Active</x:v>
      </x:c>
    </x:row>
    <x:row r="17" ht="50" customHeight="1">
      <x:c r="A17" s="54" t="str">
        <x:v>D-02</x:v>
      </x:c>
      <x:c r="B17" s="54" t="str">
        <x:v>Dependency</x:v>
      </x:c>
      <x:c r="C17" s="54" t="str">
        <x:v>A real implementation depends on business owners validating metric definitions and priorities.</x:v>
      </x:c>
      <x:c r="D17" s="54" t="n">
        <x:v>4</x:v>
      </x:c>
      <x:c r="E17" s="54" t="n">
        <x:v>5</x:v>
      </x:c>
      <x:c r="F17" s="62" t="n">
        <x:f>D17*E17</x:f>
        <x:v>20</x:v>
      </x:c>
      <x:c r="G17" s="54" t="str">
        <x:f>IF(F17&gt;=20,"Critical",IF(F17&gt;=12,"High",IF(F17&gt;=6,"Medium","Low")))</x:f>
        <x:v>Critical</x:v>
      </x:c>
      <x:c r="H17" s="54" t="str">
        <x:v>Run requirements/metric validation workshops before production adoption.</x:v>
      </x:c>
      <x:c r="I17" s="54" t="str">
        <x:v>Product owner / BA</x:v>
      </x:c>
      <x:c r="J17" s="54" t="str">
        <x:v>Implementation gate</x:v>
      </x:c>
      <x:c r="K17" s="54" t="str">
        <x:v>18 Change Plan</x:v>
      </x:c>
      <x:c r="L17" s="54" t="str">
        <x:v>Future</x:v>
      </x:c>
    </x:row>
    <x:row r="18" ht="50" customHeight="1">
      <x:c r="A18" s="55" t="str">
        <x:v>D-03</x:v>
      </x:c>
      <x:c r="B18" s="55" t="str">
        <x:v>Dependency</x:v>
      </x:c>
      <x:c r="C18" s="55" t="str">
        <x:v>Root-cause recommendations depend on internal operational and contextual data not in the public dataset.</x:v>
      </x:c>
      <x:c r="D18" s="55" t="n">
        <x:v>5</x:v>
      </x:c>
      <x:c r="E18" s="55" t="n">
        <x:v>5</x:v>
      </x:c>
      <x:c r="F18" s="63" t="n">
        <x:f>D18*E18</x:f>
        <x:v>25</x:v>
      </x:c>
      <x:c r="G18" s="55" t="str">
        <x:f>IF(F18&gt;=20,"Critical",IF(F18&gt;=12,"High",IF(F18&gt;=6,"Medium","Low")))</x:f>
        <x:v>Critical</x:v>
      </x:c>
      <x:c r="H18" s="55" t="str">
        <x:v>Treat current recommendations as investigation priorities, not intervention decisions.</x:v>
      </x:c>
      <x:c r="I18" s="55" t="str">
        <x:v>BA / operations</x:v>
      </x:c>
      <x:c r="J18" s="55" t="str">
        <x:v>Before resource/process changes</x:v>
      </x:c>
      <x:c r="K18" s="55" t="str">
        <x:v>12 Hypotheses</x:v>
      </x:c>
      <x:c r="L18" s="55" t="str">
        <x:v>Future</x:v>
      </x:c>
    </x:row>
  </x:sheetData>
  <x:mergeCells>
    <x:mergeCell ref="A1:L1"/>
    <x:mergeCell ref="A2:L2"/>
    <x:mergeCell ref="A3:L3"/>
  </x:mergeCells>
  <x:conditionalFormatting sqref="F6:F18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31da21a448a489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</x:cols>
  <x:sheetData>
    <x:row r="1" ht="30" customHeight="1">
      <x:c r="A1" s="4" t="str">
        <x:v>Risk Matrix</x:v>
      </x:c>
    </x:row>
    <x:row r="2" ht="22" customHeight="1">
      <x:c r="A2" s="10" t="str">
        <x:v>5 × 5 probability / impact interpretation</x:v>
      </x:c>
    </x:row>
    <x:row r="3" ht="34" customHeight="1">
      <x:c r="A3" s="17" t="str">
        <x:v>Numeric scores are a portfolio risk-ranking aid, not a City risk standard.</x:v>
      </x:c>
    </x:row>
    <x:row r="5" ht="30" customHeight="1">
      <x:c r="A5" s="33" t="str">
        <x:v>Impact →</x:v>
      </x:c>
      <x:c r="B5" s="34" t="str">
        <x:v>1</x:v>
      </x:c>
      <x:c r="C5" s="34" t="str">
        <x:v>2</x:v>
      </x:c>
      <x:c r="D5" s="34" t="str">
        <x:v>3</x:v>
      </x:c>
      <x:c r="E5" s="34" t="str">
        <x:v>4</x:v>
      </x:c>
      <x:c r="F5" s="34" t="str">
        <x:v>5</x:v>
      </x:c>
      <x:c r="G5" s="35" t="str">
        <x:v>Interpretation</x:v>
      </x:c>
    </x:row>
    <x:row r="6" ht="30" customHeight="1">
      <x:c r="A6" s="54" t="str">
        <x:v>Probability 5</x:v>
      </x:c>
      <x:c r="B6" s="54" t="str">
        <x:v>5 Low</x:v>
      </x:c>
      <x:c r="C6" s="54" t="str">
        <x:v>10 Medium</x:v>
      </x:c>
      <x:c r="D6" s="54" t="str">
        <x:v>15 High</x:v>
      </x:c>
      <x:c r="E6" s="54" t="str">
        <x:v>20 Critical</x:v>
      </x:c>
      <x:c r="F6" s="54" t="str">
        <x:v>25 Critical</x:v>
      </x:c>
      <x:c r="G6" s="54" t="str">
        <x:v>5=very likely</x:v>
      </x:c>
    </x:row>
    <x:row r="7" ht="30" customHeight="1">
      <x:c r="A7" s="54" t="str">
        <x:v>Probability 4</x:v>
      </x:c>
      <x:c r="B7" s="54" t="str">
        <x:v>4 Low</x:v>
      </x:c>
      <x:c r="C7" s="54" t="str">
        <x:v>8 Medium</x:v>
      </x:c>
      <x:c r="D7" s="54" t="str">
        <x:v>12 High</x:v>
      </x:c>
      <x:c r="E7" s="54" t="str">
        <x:v>16 High</x:v>
      </x:c>
      <x:c r="F7" s="54" t="str">
        <x:v>20 Critical</x:v>
      </x:c>
      <x:c r="G7" s="54" t="str"/>
    </x:row>
    <x:row r="8" ht="30" customHeight="1">
      <x:c r="A8" s="54" t="str">
        <x:v>Probability 3</x:v>
      </x:c>
      <x:c r="B8" s="54" t="str">
        <x:v>3 Low</x:v>
      </x:c>
      <x:c r="C8" s="54" t="str">
        <x:v>6 Medium</x:v>
      </x:c>
      <x:c r="D8" s="54" t="str">
        <x:v>9 Medium</x:v>
      </x:c>
      <x:c r="E8" s="54" t="str">
        <x:v>12 High</x:v>
      </x:c>
      <x:c r="F8" s="54" t="str">
        <x:v>15 High</x:v>
      </x:c>
      <x:c r="G8" s="54" t="str"/>
    </x:row>
    <x:row r="9" ht="30" customHeight="1">
      <x:c r="A9" s="54" t="str">
        <x:v>Probability 2</x:v>
      </x:c>
      <x:c r="B9" s="54" t="str">
        <x:v>2 Low</x:v>
      </x:c>
      <x:c r="C9" s="54" t="str">
        <x:v>4 Low</x:v>
      </x:c>
      <x:c r="D9" s="54" t="str">
        <x:v>6 Medium</x:v>
      </x:c>
      <x:c r="E9" s="54" t="str">
        <x:v>8 Medium</x:v>
      </x:c>
      <x:c r="F9" s="54" t="str">
        <x:v>10 Medium</x:v>
      </x:c>
      <x:c r="G9" s="54" t="str"/>
    </x:row>
    <x:row r="10" ht="30" customHeight="1">
      <x:c r="A10" s="55" t="str">
        <x:v>Probability 1</x:v>
      </x:c>
      <x:c r="B10" s="55" t="str">
        <x:v>1 Low</x:v>
      </x:c>
      <x:c r="C10" s="55" t="str">
        <x:v>2 Low</x:v>
      </x:c>
      <x:c r="D10" s="55" t="str">
        <x:v>3 Low</x:v>
      </x:c>
      <x:c r="E10" s="55" t="str">
        <x:v>4 Low</x:v>
      </x:c>
      <x:c r="F10" s="55" t="str">
        <x:v>5 Low</x:v>
      </x:c>
      <x:c r="G10" s="55" t="str"/>
    </x:row>
  </x:sheetData>
  <x:mergeCells>
    <x:mergeCell ref="A1:G1"/>
    <x:mergeCell ref="A2:G2"/>
    <x:mergeCell ref="A3:G3"/>
  </x:mergeCells>
  <x:pageMargins left="0.7" right="0.7" top="0.75" bottom="0.75" header="0.3" footer="0.3"/>
</x:worksheet>
</file>