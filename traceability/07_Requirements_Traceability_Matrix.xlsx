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39b9bd642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 Matrix" sheetId="1" r:id="Rf840083ed76b4869"/>
    <x:sheet xmlns:r="http://schemas.openxmlformats.org/officeDocument/2006/relationships" name="Coverage Summary" sheetId="2" r:id="R1ac75fd5d5db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9"/>
      <x:color rgb="FF566273"/>
      <x:name val="Carlito"/>
    </x:font>
    <x:font>
      <x:b/>
      <x:sz val="10"/>
      <x:color rgb="FF17365D"/>
      <x:name val="Carlito"/>
    </x:font>
    <x:font>
      <x:sz val="9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FFF8E7"/>
      </x:patternFill>
    </x:fill>
    <x:fill>
      <x:patternFill patternType="solid">
        <x:fgColor rgb="FFD9E7F4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</x:font>
      <x:fill>
        <x:patternFill>
          <x:bgColor rgb="FFEAF4E3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ec4ec0a614743" /><Relationship Type="http://schemas.openxmlformats.org/officeDocument/2006/relationships/theme" Target="/xl/theme/theme1.xml" Id="Rfd241efbdbfa4a8f" /><Relationship Type="http://schemas.openxmlformats.org/officeDocument/2006/relationships/sharedStrings" Target="/xl/sharedStrings.xml" Id="R4c81bf1f77ce416c" /><Relationship Type="http://schemas.openxmlformats.org/officeDocument/2006/relationships/worksheet" Target="/xl/worksheets/sheet1.xml" Id="Rf840083ed76b4869" /><Relationship Type="http://schemas.openxmlformats.org/officeDocument/2006/relationships/worksheet" Target="/xl/worksheets/sheet2.xml" Id="R1ac75fd5d5db4703" /></Relationships>
</file>

<file path=xl/tables/table1.xml><?xml version="1.0" encoding="utf-8"?>
<x:table xmlns:x="http://schemas.openxmlformats.org/spreadsheetml/2006/main" id="1" name="RTMTable" displayName="RTMTable" ref="A5:I21" headerRowCount="1" totalsRowCount="0" totalsRowShown="0">
  <x:tableColumns count="9">
    <x:tableColumn id="1" name="Child Requirement"/>
    <x:tableColumn id="2" name="Parent Business Requirement"/>
    <x:tableColumn id="3" name="User Story"/>
    <x:tableColumn id="4" name="Solution Capability / Evidence"/>
    <x:tableColumn id="5" name="UAT / Verification"/>
    <x:tableColumn id="6" name="Priority"/>
    <x:tableColumn id="7" name="Implementation State"/>
    <x:tableColumn id="8" name="Coverage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1230ea069341df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45" hidden="0" customWidth="1"/>
    <x:col min="5" max="5" width="22" hidden="0" customWidth="1"/>
    <x:col min="6" max="6" width="11" hidden="0" customWidth="1"/>
    <x:col min="7" max="7" width="23" hidden="0" customWidth="1"/>
    <x:col min="8" max="8" width="12" hidden="0" customWidth="1"/>
    <x:col min="9" max="9" width="38" hidden="0" customWidth="1"/>
  </x:cols>
  <x:sheetData>
    <x:row r="1" ht="28" customHeight="1">
      <x:c r="A1" s="5" t="str">
        <x:v>Artifact 07 — Requirements Traceability Matrix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2" t="str">
        <x:v>End-to-end linkage from business need to solution validation</x:v>
      </x:c>
      <x:c r="B2" s="12"/>
      <x:c r="C2" s="12"/>
      <x:c r="D2" s="12"/>
      <x:c r="E2" s="12"/>
      <x:c r="F2" s="12"/>
      <x:c r="G2" s="12"/>
      <x:c r="H2" s="12"/>
      <x:c r="I2" s="12"/>
    </x:row>
    <x:row r="3" ht="34" customHeight="1">
      <x:c r="A3" s="19" t="str">
        <x:v>A requirement is treated as covered only when linked to a downstream story/capability and a verification method or UAT case.</x:v>
      </x:c>
      <x:c r="B3" s="19"/>
      <x:c r="C3" s="19"/>
      <x:c r="D3" s="19"/>
      <x:c r="E3" s="19"/>
      <x:c r="F3" s="19"/>
      <x:c r="G3" s="19"/>
      <x:c r="H3" s="19"/>
      <x:c r="I3" s="19"/>
    </x:row>
    <x:row r="5" ht="30" customHeight="1">
      <x:c r="A5" s="28" t="str">
        <x:v>Child Requirement</x:v>
      </x:c>
      <x:c r="B5" s="28" t="str">
        <x:v>Parent Business Requirement</x:v>
      </x:c>
      <x:c r="C5" s="28" t="str">
        <x:v>User Story</x:v>
      </x:c>
      <x:c r="D5" s="28" t="str">
        <x:v>Solution Capability / Evidence</x:v>
      </x:c>
      <x:c r="E5" s="28" t="str">
        <x:v>UAT / Verification</x:v>
      </x:c>
      <x:c r="F5" s="28" t="str">
        <x:v>Priority</x:v>
      </x:c>
      <x:c r="G5" s="28" t="str">
        <x:v>Implementation State</x:v>
      </x:c>
      <x:c r="H5" s="28" t="str">
        <x:v>Coverage</x:v>
      </x:c>
      <x:c r="I5" s="28" t="str">
        <x:v>Notes</x:v>
      </x:c>
    </x:row>
    <x:row r="6">
      <x:c r="A6" s="36" t="str">
        <x:v>FR-01</x:v>
      </x:c>
      <x:c r="B6" s="36" t="str">
        <x:v>BR-01</x:v>
      </x:c>
      <x:c r="C6" s="36" t="str">
        <x:v>US-01</x:v>
      </x:c>
      <x:c r="D6" s="36" t="str">
        <x:v>Consolidated Power Query model using closed 2025, closed 2026, and current open data</x:v>
      </x:c>
      <x:c r="E6" s="36" t="str">
        <x:v>Data reconciliation / refresh review</x:v>
      </x:c>
      <x:c r="F6" s="36" t="str">
        <x:v>Must</x:v>
      </x:c>
      <x:c r="G6" s="36" t="str">
        <x:v>Implemented</x:v>
      </x:c>
      <x:c r="H6" s="36" t="str">
        <x:v>Covered</x:v>
      </x:c>
      <x:c r="I6" s="36" t="str">
        <x:v>Foundation for all downstream metrics</x:v>
      </x:c>
    </x:row>
    <x:row r="7">
      <x:c r="A7" s="36" t="str">
        <x:v>FR-02</x:v>
      </x:c>
      <x:c r="B7" s="36" t="str">
        <x:v>BR-01</x:v>
      </x:c>
      <x:c r="C7" s="36" t="str">
        <x:v>US-01</x:v>
      </x:c>
      <x:c r="D7" s="36" t="str">
        <x:v>Total Requests KPI</x:v>
      </x:c>
      <x:c r="E7" s="36" t="str">
        <x:v>UAT-01</x:v>
      </x:c>
      <x:c r="F7" s="36" t="str">
        <x:v>Must</x:v>
      </x:c>
      <x:c r="G7" s="36" t="str">
        <x:v>Implemented</x:v>
      </x:c>
      <x:c r="H7" s="36" t="str">
        <x:v>Covered</x:v>
      </x:c>
      <x:c r="I7" s="36" t="str">
        <x:v>Total workload, filter-aware</x:v>
      </x:c>
    </x:row>
    <x:row r="8">
      <x:c r="A8" s="36" t="str">
        <x:v>FR-03</x:v>
      </x:c>
      <x:c r="B8" s="36" t="str">
        <x:v>BR-02</x:v>
      </x:c>
      <x:c r="C8" s="36" t="str">
        <x:v>US-02</x:v>
      </x:c>
      <x:c r="D8" s="36" t="str">
        <x:v>Backlog ≥90 Days KPI</x:v>
      </x:c>
      <x:c r="E8" s="36" t="str">
        <x:v>UAT-02</x:v>
      </x:c>
      <x:c r="F8" s="36" t="str">
        <x:v>Must</x:v>
      </x:c>
      <x:c r="G8" s="36" t="str">
        <x:v>Implemented</x:v>
      </x:c>
      <x:c r="H8" s="36" t="str">
        <x:v>Covered</x:v>
      </x:c>
      <x:c r="I8" s="36" t="str">
        <x:v>90 days is a portfolio monitoring threshold, not official SLA</x:v>
      </x:c>
    </x:row>
    <x:row r="9">
      <x:c r="A9" s="36" t="str">
        <x:v>FR-04</x:v>
      </x:c>
      <x:c r="B9" s="36" t="str">
        <x:v>BR-03</x:v>
      </x:c>
      <x:c r="C9" s="36" t="str">
        <x:v>US-03</x:v>
      </x:c>
      <x:c r="D9" s="36" t="str">
        <x:v>Council District backlog visual</x:v>
      </x:c>
      <x:c r="E9" s="36" t="str">
        <x:v>UAT-03</x:v>
      </x:c>
      <x:c r="F9" s="36" t="str">
        <x:v>Must</x:v>
      </x:c>
      <x:c r="G9" s="36" t="str">
        <x:v>Implemented</x:v>
      </x:c>
      <x:c r="H9" s="36" t="str">
        <x:v>Covered</x:v>
      </x:c>
      <x:c r="I9" s="36" t="str">
        <x:v>Supports geographic comparison</x:v>
      </x:c>
    </x:row>
    <x:row r="10">
      <x:c r="A10" s="36" t="str">
        <x:v>FR-05</x:v>
      </x:c>
      <x:c r="B10" s="36" t="str">
        <x:v>BR-04</x:v>
      </x:c>
      <x:c r="C10" s="36" t="str">
        <x:v>US-04</x:v>
      </x:c>
      <x:c r="D10" s="36" t="str">
        <x:v>Service Type backlog visual</x:v>
      </x:c>
      <x:c r="E10" s="36" t="str">
        <x:v>UAT-04</x:v>
      </x:c>
      <x:c r="F10" s="36" t="str">
        <x:v>Must</x:v>
      </x:c>
      <x:c r="G10" s="36" t="str">
        <x:v>Implemented</x:v>
      </x:c>
      <x:c r="H10" s="36" t="str">
        <x:v>Covered</x:v>
      </x:c>
      <x:c r="I10" s="36" t="str">
        <x:v>Supports category-driver analysis</x:v>
      </x:c>
    </x:row>
    <x:row r="11">
      <x:c r="A11" s="36" t="str">
        <x:v>FR-06</x:v>
      </x:c>
      <x:c r="B11" s="36" t="str">
        <x:v>BR-05</x:v>
      </x:c>
      <x:c r="C11" s="36" t="str">
        <x:v>US-05</x:v>
      </x:c>
      <x:c r="D11" s="36" t="str">
        <x:v>Requests vs Dispositions monthly trend</x:v>
      </x:c>
      <x:c r="E11" s="36" t="str">
        <x:v>UAT-05</x:v>
      </x:c>
      <x:c r="F11" s="36" t="str">
        <x:v>Must</x:v>
      </x:c>
      <x:c r="G11" s="36" t="str">
        <x:v>Implemented</x:v>
      </x:c>
      <x:c r="H11" s="36" t="str">
        <x:v>Covered</x:v>
      </x:c>
      <x:c r="I11" s="36" t="str">
        <x:v>Same time axis and filter context</x:v>
      </x:c>
    </x:row>
    <x:row r="12">
      <x:c r="A12" s="36" t="str">
        <x:v>FR-07</x:v>
      </x:c>
      <x:c r="B12" s="36" t="str">
        <x:v>BR-05</x:v>
      </x:c>
      <x:c r="C12" s="36" t="str">
        <x:v>US-06</x:v>
      </x:c>
      <x:c r="D12" s="36" t="str">
        <x:v>Monthly Net Request Flow measure/visual</x:v>
      </x:c>
      <x:c r="E12" s="36" t="str">
        <x:v>UAT-06</x:v>
      </x:c>
      <x:c r="F12" s="36" t="str">
        <x:v>Must</x:v>
      </x:c>
      <x:c r="G12" s="36" t="str">
        <x:v>Implemented</x:v>
      </x:c>
      <x:c r="H12" s="36" t="str">
        <x:v>Covered</x:v>
      </x:c>
      <x:c r="I12" s="36" t="str">
        <x:v>Requests minus dispositions</x:v>
      </x:c>
    </x:row>
    <x:row r="13">
      <x:c r="A13" s="36" t="str">
        <x:v>FR-08</x:v>
      </x:c>
      <x:c r="B13" s="36" t="str">
        <x:v>BR-06</x:v>
      </x:c>
      <x:c r="C13" s="36" t="str">
        <x:v>US-07</x:v>
      </x:c>
      <x:c r="D13" s="36" t="str">
        <x:v>Slicers / report filters</x:v>
      </x:c>
      <x:c r="E13" s="36" t="str">
        <x:v>UAT-07</x:v>
      </x:c>
      <x:c r="F13" s="36" t="str">
        <x:v>Should</x:v>
      </x:c>
      <x:c r="G13" s="36" t="str">
        <x:v>Implemented</x:v>
      </x:c>
      <x:c r="H13" s="36" t="str">
        <x:v>Covered</x:v>
      </x:c>
      <x:c r="I13" s="36" t="str">
        <x:v>Supported dimensions only</x:v>
      </x:c>
    </x:row>
    <x:row r="14">
      <x:c r="A14" s="36" t="str">
        <x:v>FR-09</x:v>
      </x:c>
      <x:c r="B14" s="36" t="str">
        <x:v>BR-06</x:v>
      </x:c>
      <x:c r="C14" s="36" t="str">
        <x:v>US-07</x:v>
      </x:c>
      <x:c r="D14" s="36" t="str">
        <x:v>Cross-filtering across applicable KPIs and visuals</x:v>
      </x:c>
      <x:c r="E14" s="36" t="str">
        <x:v>UAT-07</x:v>
      </x:c>
      <x:c r="F14" s="36" t="str">
        <x:v>Must</x:v>
      </x:c>
      <x:c r="G14" s="36" t="str">
        <x:v>Implemented</x:v>
      </x:c>
      <x:c r="H14" s="36" t="str">
        <x:v>Covered</x:v>
      </x:c>
      <x:c r="I14" s="36" t="str">
        <x:v>Consistency within selected context</x:v>
      </x:c>
    </x:row>
    <x:row r="15">
      <x:c r="A15" s="36" t="str">
        <x:v>FR-10</x:v>
      </x:c>
      <x:c r="B15" s="36" t="str">
        <x:v>BR-08</x:v>
      </x:c>
      <x:c r="C15" s="36" t="str">
        <x:v>US-09</x:v>
      </x:c>
      <x:c r="D15" s="36" t="str">
        <x:v>Power Query blank-to-Unknown transformation</x:v>
      </x:c>
      <x:c r="E15" s="36" t="str">
        <x:v>UAT-08</x:v>
      </x:c>
      <x:c r="F15" s="36" t="str">
        <x:v>Should</x:v>
      </x:c>
      <x:c r="G15" s="36" t="str">
        <x:v>Implemented</x:v>
      </x:c>
      <x:c r="H15" s="36" t="str">
        <x:v>Covered</x:v>
      </x:c>
      <x:c r="I15" s="36" t="str">
        <x:v>Makes missing categories visible</x:v>
      </x:c>
    </x:row>
    <x:row r="16">
      <x:c r="A16" s="36" t="str">
        <x:v>FR-11</x:v>
      </x:c>
      <x:c r="B16" s="36" t="str">
        <x:v>BR-01 / BR-05</x:v>
      </x:c>
      <x:c r="C16" s="36" t="str">
        <x:v>US-01 / US-05</x:v>
      </x:c>
      <x:c r="D16" s="36" t="str">
        <x:v>Open/backlog logic kept distinct from closed/disposition measures</x:v>
      </x:c>
      <x:c r="E16" s="36" t="str">
        <x:v>UAT-09</x:v>
      </x:c>
      <x:c r="F16" s="36" t="str">
        <x:v>Must</x:v>
      </x:c>
      <x:c r="G16" s="36" t="str">
        <x:v>Implemented</x:v>
      </x:c>
      <x:c r="H16" s="36" t="str">
        <x:v>Covered</x:v>
      </x:c>
      <x:c r="I16" s="36" t="str">
        <x:v>Prevents metric conflation</x:v>
      </x:c>
    </x:row>
    <x:row r="17">
      <x:c r="A17" s="36" t="str">
        <x:v>FR-12</x:v>
      </x:c>
      <x:c r="B17" s="36" t="str">
        <x:v>BR-01 / BR-07</x:v>
      </x:c>
      <x:c r="C17" s="36" t="str">
        <x:v>US-10</x:v>
      </x:c>
      <x:c r="D17" s="36" t="str">
        <x:v>Executive Overview + deeper Monthly Net Request Flow analysis</x:v>
      </x:c>
      <x:c r="E17" s="36" t="str">
        <x:v>UAT-10</x:v>
      </x:c>
      <x:c r="F17" s="36" t="str">
        <x:v>Should</x:v>
      </x:c>
      <x:c r="G17" s="36" t="str">
        <x:v>Implemented</x:v>
      </x:c>
      <x:c r="H17" s="36" t="str">
        <x:v>Covered</x:v>
      </x:c>
      <x:c r="I17" s="36" t="str">
        <x:v>Supports summary-to-detail workflow</x:v>
      </x:c>
    </x:row>
    <x:row r="18">
      <x:c r="A18" s="36" t="str">
        <x:v>NFR-01</x:v>
      </x:c>
      <x:c r="B18" s="36" t="str">
        <x:v>BR-01</x:v>
      </x:c>
      <x:c r="C18" s="36" t="str">
        <x:v>US-10</x:v>
      </x:c>
      <x:c r="D18" s="36" t="str">
        <x:v>Executive-first visual hierarchy and readable labels</x:v>
      </x:c>
      <x:c r="E18" s="36" t="str">
        <x:v>UAT-10</x:v>
      </x:c>
      <x:c r="F18" s="36" t="str">
        <x:v>Should</x:v>
      </x:c>
      <x:c r="G18" s="36" t="str">
        <x:v>Proposed / observed</x:v>
      </x:c>
      <x:c r="H18" s="36" t="str">
        <x:v>Covered</x:v>
      </x:c>
      <x:c r="I18" s="36" t="str">
        <x:v>Formal usability research not performed</x:v>
      </x:c>
    </x:row>
    <x:row r="19">
      <x:c r="A19" s="36" t="str">
        <x:v>NFR-02</x:v>
      </x:c>
      <x:c r="B19" s="36" t="str">
        <x:v>BR-08</x:v>
      </x:c>
      <x:c r="C19" s="36" t="str">
        <x:v>US-08</x:v>
      </x:c>
      <x:c r="D19" s="36" t="str">
        <x:v>Requirements catalog, RTM, README, definitions and limitation notes</x:v>
      </x:c>
      <x:c r="E19" s="36" t="str">
        <x:v>UAT-11</x:v>
      </x:c>
      <x:c r="F19" s="36" t="str">
        <x:v>Must</x:v>
      </x:c>
      <x:c r="G19" s="36" t="str">
        <x:v>Proposed / documented</x:v>
      </x:c>
      <x:c r="H19" s="36" t="str">
        <x:v>Covered</x:v>
      </x:c>
      <x:c r="I19" s="36" t="str">
        <x:v>Governance / explainability</x:v>
      </x:c>
    </x:row>
    <x:row r="20">
      <x:c r="A20" s="36" t="str">
        <x:v>NFR-03</x:v>
      </x:c>
      <x:c r="B20" s="36" t="str">
        <x:v>BR-08</x:v>
      </x:c>
      <x:c r="C20" s="36" t="str">
        <x:v>US-08 / US-09</x:v>
      </x:c>
      <x:c r="D20" s="36" t="str">
        <x:v>Documented Power Query and DAX logic, reproducible transformation steps</x:v>
      </x:c>
      <x:c r="E20" s="36" t="str">
        <x:v>UAT-12</x:v>
      </x:c>
      <x:c r="F20" s="36" t="str">
        <x:v>Should</x:v>
      </x:c>
      <x:c r="G20" s="36" t="str">
        <x:v>Proposed / partly implemented</x:v>
      </x:c>
      <x:c r="H20" s="36" t="str">
        <x:v>Covered</x:v>
      </x:c>
      <x:c r="I20" s="36" t="str">
        <x:v>Maintains portfolio reproducibility</x:v>
      </x:c>
    </x:row>
    <x:row r="21">
      <x:c r="A21" s="36" t="str">
        <x:v>NFR-04</x:v>
      </x:c>
      <x:c r="B21" s="36" t="str">
        <x:v>BR-06</x:v>
      </x:c>
      <x:c r="C21" s="36" t="str">
        <x:v>US-07</x:v>
      </x:c>
      <x:c r="D21" s="36" t="str">
        <x:v>Observed interactive Power BI filtering performance</x:v>
      </x:c>
      <x:c r="E21" s="36" t="str">
        <x:v>Exploratory usability check</x:v>
      </x:c>
      <x:c r="F21" s="36" t="str">
        <x:v>Could</x:v>
      </x:c>
      <x:c r="G21" s="36" t="str">
        <x:v>Observed</x:v>
      </x:c>
      <x:c r="H21" s="36" t="str">
        <x:v>Covered</x:v>
      </x:c>
      <x:c r="I21" s="36" t="str">
        <x:v>No production SLA asserted</x:v>
      </x:c>
    </x:row>
    <x:row r="22">
      <x:c r="A22" t="str">
        <x:v>FR-13</x:v>
      </x:c>
      <x:c r="B22" t="str">
        <x:v>BR-09</x:v>
      </x:c>
      <x:c r="C22" t="str">
        <x:v>US-11</x:v>
      </x:c>
      <x:c r="D22" t="str">
        <x:v>Duplicate Requests / Duplicate Rate measures and service-category analysis</x:v>
      </x:c>
      <x:c r="E22" t="str">
        <x:v>UAT-13</x:v>
      </x:c>
      <x:c r="F22" t="str">
        <x:v>Should</x:v>
      </x:c>
      <x:c r="G22" t="str">
        <x:v>Implemented</x:v>
      </x:c>
      <x:c r="H22" t="str">
        <x:v>Covered</x:v>
      </x:c>
      <x:c r="I22" t="str">
        <x:v>Uses parent-request relationship; does not infer cause of duplicate reporting</x:v>
      </x:c>
    </x:row>
    <x:row r="23">
      <x:c r="A23" t="str">
        <x:v>FR-14</x:v>
      </x:c>
      <x:c r="B23" t="str">
        <x:v>BR-09 / BR-08</x:v>
      </x:c>
      <x:c r="C23" t="str">
        <x:v>US-11</x:v>
      </x:c>
      <x:c r="D23" t="str">
        <x:v>Referred Requests / Referral Rate measures and limitation note</x:v>
      </x:c>
      <x:c r="E23" t="str">
        <x:v>UAT-14 / UAT-11</x:v>
      </x:c>
      <x:c r="F23" t="str">
        <x:v>Should</x:v>
      </x:c>
      <x:c r="G23" t="str">
        <x:v>Implemented</x:v>
      </x:c>
      <x:c r="H23" t="str">
        <x:v>Covered</x:v>
      </x:c>
      <x:c r="I23" t="str">
        <x:v>Referred is treated as workflow exit, not confirmed physical resolution</x:v>
      </x:c>
    </x:row>
  </x:sheetData>
  <x:mergeCells>
    <x:mergeCell ref="A1:I1"/>
    <x:mergeCell ref="A2:I2"/>
    <x:mergeCell ref="A3:I3"/>
  </x:mergeCells>
  <x:conditionalFormatting sqref="H6:H21">
    <x:cfRule type="expression" dxfId="0" priority="1">
      <x:formula>H6="Covered"</x:formula>
    </x:cfRule>
    <x:cfRule type="expression" dxfId="1" priority="2">
      <x:formula>H6="Partial"</x:formula>
    </x:cfRule>
    <x:cfRule type="expression" dxfId="2" priority="3">
      <x:formula>H6="Gap"</x:formula>
    </x:cfRule>
  </x:conditionalFormatting>
  <x:dataValidations count="1">
    <x:dataValidation type="list" sqref="H6:H21">
      <x:formula1>"Covered,Gap,Partial"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1230ea069341d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4" max="4" width="22" hidden="0" customWidth="1"/>
    <x:col min="5" max="5" width="58" hidden="0" customWidth="1"/>
  </x:cols>
  <x:sheetData>
    <x:row r="1" ht="28" customHeight="1">
      <x:c r="A1" s="5" t="str">
        <x:v>Traceability Coverage Summary</x:v>
      </x:c>
      <x:c r="B1" s="5"/>
      <x:c r="C1" s="5"/>
      <x:c r="D1" s="5"/>
      <x:c r="E1" s="5"/>
    </x:row>
    <x:row r="2" ht="22" customHeight="1">
      <x:c r="A2" s="12" t="str">
        <x:v>Portfolio coverage check for mapped implementation requirements</x:v>
      </x:c>
      <x:c r="B2" s="12"/>
      <x:c r="C2" s="12"/>
      <x:c r="D2" s="12"/>
      <x:c r="E2" s="12"/>
    </x:row>
    <x:row r="3" ht="34" customHeight="1">
      <x:c r="A3" s="19" t="str">
        <x:v>Coverage here means documented linkage, not formal City acceptance.</x:v>
      </x:c>
      <x:c r="B3" s="19"/>
      <x:c r="C3" s="19"/>
      <x:c r="D3" s="19"/>
      <x:c r="E3" s="19"/>
    </x:row>
    <x:row r="5" ht="30" customHeight="1">
      <x:c r="A5" s="28" t="str">
        <x:v>Metric</x:v>
      </x:c>
      <x:c r="B5" s="28" t="str">
        <x:v>Value</x:v>
      </x:c>
      <x:c r="D5" s="28" t="str">
        <x:v>Coverage Indicator</x:v>
      </x:c>
      <x:c r="E5" s="28" t="str">
        <x:v>Value</x:v>
      </x:c>
    </x:row>
    <x:row r="6">
      <x:c r="A6" s="36" t="str">
        <x:v>Mapped child requirements</x:v>
      </x:c>
      <x:c r="B6" s="36" t="n">
        <x:v>18</x:v>
      </x:c>
      <x:c r="D6" s="36" t="str">
        <x:v>Coverage %</x:v>
      </x:c>
      <x:c r="E6" s="40" t="n">
        <x:f>B7/B6</x:f>
        <x:v>1</x:v>
      </x:c>
    </x:row>
    <x:row r="7">
      <x:c r="A7" s="36" t="str">
        <x:v>Covered</x:v>
      </x:c>
      <x:c r="B7" s="36" t="n">
        <x:v>18</x:v>
      </x:c>
      <x:c r="D7" s="36" t="str">
        <x:v>Interpretation</x:v>
      </x:c>
      <x:c r="E7" s="36" t="str">
        <x:v>All mapped implementation requirements have a documented downstream validation path in this portfolio package.</x:v>
      </x:c>
    </x:row>
    <x:row r="8">
      <x:c r="A8" s="36" t="str">
        <x:v>Partial</x:v>
      </x:c>
      <x:c r="B8" s="36" t="n">
        <x:f>COUNTIF('Traceability Matrix'!H6:H21,"Partial")</x:f>
        <x:v>0</x:v>
      </x:c>
    </x:row>
    <x:row r="9">
      <x:c r="A9" s="36" t="str">
        <x:v>Gaps</x:v>
      </x:c>
      <x:c r="B9" s="36" t="n">
        <x:f>COUNTIF('Traceability Matrix'!H6:H21,"Gap")</x:f>
        <x:v>0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